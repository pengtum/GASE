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612" yWindow="-108" windowWidth="17496" windowHeight="30216" tabRatio="600" firstSheet="0" activeTab="1" autoFilterDateGrouping="1"/>
  </bookViews>
  <sheets>
    <sheet xmlns:r="http://schemas.openxmlformats.org/officeDocument/2006/relationships" name="runtime" sheetId="1" state="visible" r:id="rId1"/>
    <sheet xmlns:r="http://schemas.openxmlformats.org/officeDocument/2006/relationships" name="performanc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hh:mm:ss"/>
    <numFmt numFmtId="165" formatCode="0.0000"/>
  </numFmts>
  <fonts count="9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sz val="10"/>
    </font>
    <font>
      <name val="Arial"/>
      <color theme="1"/>
      <sz val="10"/>
      <scheme val="minor"/>
    </font>
    <font>
      <name val="Arial"/>
      <color theme="1"/>
      <sz val="10"/>
    </font>
    <font>
      <name val="Arial"/>
      <b val="1"/>
      <color rgb="FFCC0000"/>
      <sz val="10"/>
      <scheme val="minor"/>
    </font>
    <font>
      <name val="Arial"/>
      <color rgb="FFCC0000"/>
      <sz val="10"/>
      <scheme val="minor"/>
    </font>
    <font>
      <name val="Arial"/>
      <b val="1"/>
      <color theme="1"/>
      <sz val="10"/>
      <scheme val="minor"/>
    </font>
    <font>
      <name val="Arial"/>
      <color rgb="FFA61C00"/>
      <sz val="10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2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46" fontId="3" fillId="0" borderId="0" pivotButton="0" quotePrefix="0" xfId="0"/>
    <xf numFmtId="164" fontId="3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165" fontId="8" fillId="0" borderId="0" pivotButton="0" quotePrefix="0" xfId="0"/>
    <xf numFmtId="165" fontId="4" fillId="0" borderId="0" applyAlignment="1" pivotButton="0" quotePrefix="0" xfId="0">
      <alignment horizontal="right"/>
    </xf>
    <xf numFmtId="165" fontId="3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1" fillId="0" borderId="1" applyAlignment="1" pivotButton="0" quotePrefix="0" xfId="0">
      <alignment horizontal="center"/>
    </xf>
    <xf numFmtId="0" fontId="2" fillId="0" borderId="1" pivotButton="0" quotePrefix="0" xfId="0"/>
    <xf numFmtId="0" fontId="7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22"/>
  <sheetViews>
    <sheetView workbookViewId="0">
      <selection activeCell="A1" sqref="A1:A2"/>
    </sheetView>
  </sheetViews>
  <sheetFormatPr baseColWidth="8" defaultColWidth="12.5703125" defaultRowHeight="15.75" customHeight="1"/>
  <cols>
    <col width="17.28515625" customWidth="1" style="18" min="3" max="3"/>
    <col width="29.28515625" customWidth="1" style="18" min="4" max="4"/>
    <col width="21.42578125" customWidth="1" style="18" min="5" max="5"/>
    <col width="16.28515625" customWidth="1" style="18" min="6" max="6"/>
    <col width="17.7109375" customWidth="1" style="18" min="7" max="7"/>
    <col width="19.7109375" customWidth="1" style="18" min="8" max="8"/>
    <col width="14.5703125" customWidth="1" style="18" min="9" max="9"/>
    <col width="14.42578125" customWidth="1" style="18" min="10" max="10"/>
    <col width="14" customWidth="1" style="18" min="11" max="11"/>
    <col width="15.28515625" customWidth="1" style="18" min="12" max="12"/>
    <col width="11.5703125" customWidth="1" style="18" min="13" max="13"/>
    <col width="11.42578125" customWidth="1" style="18" min="14" max="14"/>
    <col width="12.42578125" customWidth="1" style="18" min="15" max="15"/>
    <col width="15.140625" customWidth="1" style="18" min="16" max="16"/>
  </cols>
  <sheetData>
    <row r="1">
      <c r="A1" s="19" t="inlineStr">
        <is>
          <t>#</t>
        </is>
      </c>
      <c r="B1" s="19" t="inlineStr">
        <is>
          <t>LLM</t>
        </is>
      </c>
      <c r="C1" s="19" t="inlineStr">
        <is>
          <t>RAG</t>
        </is>
      </c>
      <c r="D1" s="19" t="inlineStr">
        <is>
          <t>Model</t>
        </is>
      </c>
      <c r="E1" s="19" t="inlineStr">
        <is>
          <t>Task</t>
        </is>
      </c>
      <c r="F1" s="19" t="inlineStr">
        <is>
          <t>Time (s)</t>
        </is>
      </c>
      <c r="G1" s="19" t="inlineStr">
        <is>
          <t>Hours</t>
        </is>
      </c>
      <c r="H1" s="19" t="inlineStr">
        <is>
          <t>Dateset</t>
        </is>
      </c>
      <c r="I1" s="15" t="inlineStr">
        <is>
          <t>Avg Metrics</t>
        </is>
      </c>
      <c r="J1" s="20" t="n"/>
      <c r="K1" s="20" t="n"/>
      <c r="L1" s="20" t="n"/>
      <c r="M1" s="15" t="inlineStr">
        <is>
          <t>Rectangular</t>
        </is>
      </c>
      <c r="N1" s="20" t="n"/>
      <c r="O1" s="20" t="n"/>
      <c r="P1" s="20" t="n"/>
      <c r="Q1" s="15" t="inlineStr">
        <is>
          <t>Voronoi</t>
        </is>
      </c>
      <c r="R1" s="20" t="n"/>
      <c r="S1" s="20" t="n"/>
      <c r="T1" s="20" t="n"/>
      <c r="U1" s="15" t="inlineStr">
        <is>
          <t>Arbitrary</t>
        </is>
      </c>
      <c r="V1" s="20" t="n"/>
      <c r="W1" s="20" t="n"/>
      <c r="X1" s="20" t="n"/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1" t="inlineStr">
        <is>
          <t>SSR</t>
        </is>
      </c>
      <c r="J2" s="1" t="inlineStr">
        <is>
          <t>RandI</t>
        </is>
      </c>
      <c r="K2" s="1" t="inlineStr">
        <is>
          <t>NMI</t>
        </is>
      </c>
      <c r="L2" s="1" t="inlineStr">
        <is>
          <t>MAE</t>
        </is>
      </c>
      <c r="M2" s="1" t="inlineStr">
        <is>
          <t>SSR</t>
        </is>
      </c>
      <c r="N2" s="1" t="inlineStr">
        <is>
          <t>RandI</t>
        </is>
      </c>
      <c r="O2" s="1" t="inlineStr">
        <is>
          <t>NMI</t>
        </is>
      </c>
      <c r="P2" s="1" t="inlineStr">
        <is>
          <t>MAE</t>
        </is>
      </c>
      <c r="Q2" s="1" t="inlineStr">
        <is>
          <t>SSR</t>
        </is>
      </c>
      <c r="R2" s="1" t="inlineStr">
        <is>
          <t>RandI</t>
        </is>
      </c>
      <c r="S2" s="1" t="inlineStr">
        <is>
          <t>NMI</t>
        </is>
      </c>
      <c r="T2" s="1" t="inlineStr">
        <is>
          <t>MAE</t>
        </is>
      </c>
      <c r="U2" s="1" t="inlineStr">
        <is>
          <t>SSR</t>
        </is>
      </c>
      <c r="V2" s="1" t="inlineStr">
        <is>
          <t>RandI</t>
        </is>
      </c>
      <c r="W2" s="1" t="inlineStr">
        <is>
          <t>NMI</t>
        </is>
      </c>
      <c r="X2" s="1" t="inlineStr">
        <is>
          <t>MAE</t>
        </is>
      </c>
    </row>
    <row r="3">
      <c r="A3" s="2" t="n"/>
      <c r="B3" s="2" t="n"/>
      <c r="C3" s="3" t="n"/>
      <c r="D3" s="3" t="n"/>
      <c r="E3" s="2" t="n"/>
      <c r="F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>
      <c r="A4" s="2" t="n">
        <v>1</v>
      </c>
      <c r="B4" s="2" t="inlineStr">
        <is>
          <t>GPT-4.1</t>
        </is>
      </c>
      <c r="C4" s="3" t="inlineStr">
        <is>
          <t>GeoKnowRAG</t>
        </is>
      </c>
      <c r="D4" s="3" t="inlineStr">
        <is>
          <t>GeoEvolve With Dynamic RAG</t>
        </is>
      </c>
      <c r="E4" s="2" t="inlineStr">
        <is>
          <t>GeoRegime (2Kmodels)</t>
        </is>
      </c>
      <c r="F4" s="2" t="n">
        <v>7594.97</v>
      </c>
      <c r="G4" s="2">
        <f>F4/3600</f>
        <v/>
      </c>
      <c r="H4" s="2" t="inlineStr">
        <is>
          <t>Synthetic</t>
        </is>
      </c>
      <c r="I4" s="2" t="n">
        <v>65.2231354587632</v>
      </c>
      <c r="J4" s="2" t="n">
        <v>0.9670581196581191</v>
      </c>
      <c r="K4" s="2" t="n">
        <v>0.881442026836044</v>
      </c>
      <c r="L4" s="2" t="n">
        <v>0.134724297456371</v>
      </c>
      <c r="M4" s="2" t="n">
        <v>60.759954426059</v>
      </c>
      <c r="N4" s="2" t="n">
        <v>0.971666666666666</v>
      </c>
      <c r="O4" s="2" t="n">
        <v>0.89940612326591</v>
      </c>
      <c r="P4" s="2" t="n">
        <v>0.153357212801562</v>
      </c>
      <c r="Q4" s="2" t="n">
        <v>55.695745208172</v>
      </c>
      <c r="R4" s="2" t="n">
        <v>0.982035897435897</v>
      </c>
      <c r="S4" s="2" t="n">
        <v>0.9218177916518669</v>
      </c>
      <c r="T4" s="2" t="n">
        <v>0.0785837359481537</v>
      </c>
      <c r="U4" s="2" t="n">
        <v>79.21370674205851</v>
      </c>
      <c r="V4" s="2" t="n">
        <v>0.947471794871794</v>
      </c>
      <c r="W4" s="2" t="n">
        <v>0.823102165590357</v>
      </c>
      <c r="X4" s="2" t="n">
        <v>0.172231943619399</v>
      </c>
    </row>
    <row r="5">
      <c r="A5" s="2" t="n">
        <v>2</v>
      </c>
      <c r="B5" s="2" t="inlineStr">
        <is>
          <t>GPT-4.1</t>
        </is>
      </c>
      <c r="C5" s="3" t="inlineStr">
        <is>
          <t>GeoKnowRAG</t>
        </is>
      </c>
      <c r="D5" s="3" t="inlineStr">
        <is>
          <t>GeoEvolve With Static RAG</t>
        </is>
      </c>
      <c r="E5" s="2" t="inlineStr">
        <is>
          <t>GeoRegime (2Kmodels)</t>
        </is>
      </c>
      <c r="F5" s="2" t="n">
        <v>7523.642</v>
      </c>
      <c r="G5" s="2">
        <f>F5/3600</f>
        <v/>
      </c>
      <c r="H5" s="2" t="inlineStr">
        <is>
          <t>Synthetic</t>
        </is>
      </c>
      <c r="I5" s="2" t="n">
        <v>56.4489611774921</v>
      </c>
      <c r="J5" s="2" t="n">
        <v>0.985189743589743</v>
      </c>
      <c r="K5" s="2" t="n">
        <v>0.940796268094059</v>
      </c>
      <c r="L5" s="2" t="n">
        <v>0.102514258304056</v>
      </c>
      <c r="M5" s="2" t="n">
        <v>50.2820871170135</v>
      </c>
      <c r="N5" s="2" t="n">
        <v>0.99491282051282</v>
      </c>
      <c r="O5" s="2" t="n">
        <v>0.979579306411435</v>
      </c>
      <c r="P5" s="2" t="n">
        <v>0.09826484530849559</v>
      </c>
      <c r="Q5" s="2" t="n">
        <v>54.8199048527331</v>
      </c>
      <c r="R5" s="2" t="n">
        <v>0.9937179487179481</v>
      </c>
      <c r="S5" s="2" t="n">
        <v>0.9644538834830541</v>
      </c>
      <c r="T5" s="2" t="n">
        <v>0.0561888885145551</v>
      </c>
      <c r="U5" s="2" t="n">
        <v>64.24489156272951</v>
      </c>
      <c r="V5" s="2" t="n">
        <v>0.966938461538461</v>
      </c>
      <c r="W5" s="2" t="n">
        <v>0.8783556143876891</v>
      </c>
      <c r="X5" s="2" t="n">
        <v>0.153089041089119</v>
      </c>
    </row>
    <row r="6">
      <c r="A6" s="2" t="n">
        <v>3</v>
      </c>
      <c r="B6" s="2" t="inlineStr">
        <is>
          <t>GPT-4.1</t>
        </is>
      </c>
      <c r="C6" s="3" t="inlineStr">
        <is>
          <t>GeoKnowRAG</t>
        </is>
      </c>
      <c r="D6" s="3" t="inlineStr">
        <is>
          <t>GeoEvolve No RAG</t>
        </is>
      </c>
      <c r="E6" s="2" t="inlineStr">
        <is>
          <t>GeoRegime (2Kmodels)</t>
        </is>
      </c>
      <c r="F6" s="2" t="n">
        <v>5483.149</v>
      </c>
      <c r="G6" s="2">
        <f>F6/3600</f>
        <v/>
      </c>
      <c r="H6" s="2" t="inlineStr">
        <is>
          <t>Synthetic</t>
        </is>
      </c>
      <c r="I6" s="2" t="n">
        <v>78.4214214092972</v>
      </c>
      <c r="J6" s="2" t="n">
        <v>0.955205128205128</v>
      </c>
      <c r="K6" s="2" t="n">
        <v>0.849776241893604</v>
      </c>
      <c r="L6" s="2" t="n">
        <v>0.183466463106522</v>
      </c>
      <c r="M6" s="2" t="n">
        <v>54.2644124488326</v>
      </c>
      <c r="N6" s="2" t="n">
        <v>0.957892307692307</v>
      </c>
      <c r="O6" s="2" t="n">
        <v>0.865877759616685</v>
      </c>
      <c r="P6" s="2" t="n">
        <v>0.178754884472709</v>
      </c>
      <c r="Q6" s="2" t="n">
        <v>73.72110137743969</v>
      </c>
      <c r="R6" s="2" t="n">
        <v>0.97805641025641</v>
      </c>
      <c r="S6" s="2" t="n">
        <v>0.914313870728962</v>
      </c>
      <c r="T6" s="2" t="n">
        <v>0.0754233690407813</v>
      </c>
      <c r="U6" s="2" t="n">
        <v>113.631744826705</v>
      </c>
      <c r="V6" s="2" t="n">
        <v>0.9336871794871791</v>
      </c>
      <c r="W6" s="2" t="n">
        <v>0.778818589524481</v>
      </c>
      <c r="X6" s="2" t="n">
        <v>0.314197491519929</v>
      </c>
    </row>
    <row r="7">
      <c r="A7" s="2" t="n">
        <v>4</v>
      </c>
      <c r="B7" s="2" t="inlineStr">
        <is>
          <t>GPT-4.1</t>
        </is>
      </c>
      <c r="C7" s="3" t="inlineStr">
        <is>
          <t>No</t>
        </is>
      </c>
      <c r="D7" s="3" t="inlineStr">
        <is>
          <t>OpenEvolve No GeoKnow</t>
        </is>
      </c>
      <c r="E7" s="2" t="inlineStr">
        <is>
          <t>GeoRegime (2Kmodels)</t>
        </is>
      </c>
      <c r="F7" s="2" t="n">
        <v>1321.312</v>
      </c>
      <c r="G7" s="2">
        <f>F7/3600</f>
        <v/>
      </c>
      <c r="H7" s="2" t="inlineStr">
        <is>
          <t>Synthetic</t>
        </is>
      </c>
      <c r="I7" s="2" t="n">
        <v>88.3081</v>
      </c>
      <c r="J7" s="2" t="n">
        <v>0.96219829059829</v>
      </c>
      <c r="K7" s="2" t="n">
        <v>0.862905052453919</v>
      </c>
      <c r="L7" s="2" t="n">
        <v>0.152780695879275</v>
      </c>
      <c r="M7" s="2" t="n">
        <v>85.9534036024518</v>
      </c>
      <c r="N7" s="2" t="n">
        <v>0.965251282051282</v>
      </c>
      <c r="O7" s="2" t="n">
        <v>0.879020430615125</v>
      </c>
      <c r="P7" s="2" t="n">
        <v>0.158614882903147</v>
      </c>
      <c r="Q7" s="2" t="n">
        <v>79.1035960457467</v>
      </c>
      <c r="R7" s="2" t="n">
        <v>0.976861538461538</v>
      </c>
      <c r="S7" s="2" t="n">
        <v>0.905758566409786</v>
      </c>
      <c r="T7" s="2" t="n">
        <v>0.09242243418023691</v>
      </c>
      <c r="U7" s="2" t="inlineStr">
        <is>
          <t>95.82680589159429,</t>
        </is>
      </c>
      <c r="V7" s="2" t="n">
        <v>0.950548717948718</v>
      </c>
      <c r="W7" s="2" t="n">
        <v>0.819207905897042</v>
      </c>
      <c r="X7" s="2" t="n">
        <v>0.207303228081099</v>
      </c>
    </row>
    <row r="8">
      <c r="A8" s="2" t="n">
        <v>5</v>
      </c>
      <c r="B8" s="2" t="inlineStr">
        <is>
          <t>GPT-4.1</t>
        </is>
      </c>
      <c r="C8" s="3" t="inlineStr">
        <is>
          <t>No</t>
        </is>
      </c>
      <c r="D8" s="3" t="inlineStr">
        <is>
          <t>OpenEvolve Simple GeoKnow</t>
        </is>
      </c>
      <c r="E8" s="2" t="inlineStr">
        <is>
          <t>GeoRegime (2Kmodels)</t>
        </is>
      </c>
      <c r="F8" s="2" t="n">
        <v>7832</v>
      </c>
      <c r="G8" s="2">
        <f>F8/3600</f>
        <v/>
      </c>
      <c r="H8" s="2" t="inlineStr">
        <is>
          <t>Synthetic</t>
        </is>
      </c>
      <c r="I8" s="2" t="n">
        <v>60.8739923963066</v>
      </c>
      <c r="J8" s="2" t="n">
        <v>0.965435897435897</v>
      </c>
      <c r="K8" s="2" t="n">
        <v>0.8812492076351151</v>
      </c>
      <c r="L8" s="2" t="n">
        <v>0.132369295539911</v>
      </c>
      <c r="M8" s="2" t="n">
        <v>78.9895927433911</v>
      </c>
      <c r="N8" s="2" t="n">
        <v>0.922764102564102</v>
      </c>
      <c r="O8" s="2" t="n">
        <v>0.806254858586134</v>
      </c>
      <c r="P8" s="2" t="n">
        <v>0.260764575833042</v>
      </c>
      <c r="Q8" s="2" t="n">
        <v>57.168482901991</v>
      </c>
      <c r="R8" s="2" t="n">
        <v>0.985984615384615</v>
      </c>
      <c r="S8" s="2" t="n">
        <v>0.934713067699578</v>
      </c>
      <c r="T8" s="2" t="n">
        <v>0.06946872034068061</v>
      </c>
      <c r="U8" s="2" t="n">
        <v>104.188834755452</v>
      </c>
      <c r="V8" s="2" t="n">
        <v>0.933333333333333</v>
      </c>
      <c r="W8" s="2" t="n">
        <v>0.7970359847877631</v>
      </c>
      <c r="X8" s="2" t="n">
        <v>0.314716872077999</v>
      </c>
    </row>
    <row r="9">
      <c r="A9" s="2" t="n">
        <v>6</v>
      </c>
      <c r="B9" s="2" t="inlineStr">
        <is>
          <t>GPT-4.1</t>
        </is>
      </c>
      <c r="C9" s="3" t="inlineStr">
        <is>
          <t>No</t>
        </is>
      </c>
      <c r="D9" s="3" t="inlineStr">
        <is>
          <t>OpenEvolve Specific GeoKnow</t>
        </is>
      </c>
      <c r="E9" s="2" t="inlineStr">
        <is>
          <t>GeoRegime (2Kmodels)</t>
        </is>
      </c>
      <c r="F9" s="2" t="n">
        <v>4942</v>
      </c>
      <c r="G9" s="2">
        <f>F9/3600</f>
        <v/>
      </c>
      <c r="H9" s="2" t="inlineStr">
        <is>
          <t>Synthetic</t>
        </is>
      </c>
      <c r="I9" s="2" t="n">
        <v>71.3797</v>
      </c>
      <c r="J9" s="2" t="n">
        <v>0.964</v>
      </c>
      <c r="K9" s="2" t="n">
        <v>0.8698</v>
      </c>
      <c r="L9" s="2" t="n">
        <v>0.1477</v>
      </c>
      <c r="M9" s="2" t="n">
        <v>73.049256773571</v>
      </c>
      <c r="N9" s="2" t="n">
        <v>0.938384615384615</v>
      </c>
      <c r="O9" s="2" t="n">
        <v>0.825874623441144</v>
      </c>
      <c r="P9" s="2" t="n">
        <v>0.240128997874412</v>
      </c>
      <c r="Q9" s="2" t="n">
        <v>90.1934869257651</v>
      </c>
      <c r="R9" s="2" t="n">
        <v>0.933815384615384</v>
      </c>
      <c r="S9" s="2" t="n">
        <v>0.817045055667013</v>
      </c>
      <c r="T9" s="2" t="n">
        <v>0.290346401572036</v>
      </c>
      <c r="U9" s="2" t="n">
        <v>95.6349017790812</v>
      </c>
      <c r="V9" s="2" t="n">
        <v>0.933282051282051</v>
      </c>
      <c r="W9" s="2" t="n">
        <v>0.7910577174428149</v>
      </c>
      <c r="X9" s="2" t="n">
        <v>0.234422187699506</v>
      </c>
    </row>
    <row r="10">
      <c r="E10" s="4" t="inlineStr">
        <is>
          <t>GeoRegime (2Kmodels)</t>
        </is>
      </c>
      <c r="F10" s="5" t="n"/>
      <c r="G10" s="5" t="n"/>
      <c r="H10" s="5" t="n"/>
      <c r="I10" s="5" t="n">
        <v>96.90340949608191</v>
      </c>
      <c r="J10" s="5" t="n">
        <v>0.940897435897435</v>
      </c>
      <c r="K10" s="5" t="n">
        <v>0.813285659700789</v>
      </c>
      <c r="L10" s="5" t="n">
        <v>0.228814843206032</v>
      </c>
      <c r="M10" s="5" t="n">
        <v>92.2219676248929</v>
      </c>
      <c r="N10" s="5" t="n">
        <v>0.914984615384615</v>
      </c>
      <c r="O10" s="5" t="n">
        <v>0.76971122847198</v>
      </c>
      <c r="P10" s="5" t="n">
        <v>0.332978645691931</v>
      </c>
      <c r="Q10" s="5" t="n">
        <v>106.601548354274</v>
      </c>
      <c r="R10" s="5" t="n">
        <v>0.969128205128205</v>
      </c>
      <c r="S10" s="5" t="n">
        <v>0.873570971429496</v>
      </c>
      <c r="T10" s="5" t="n">
        <v>0.144906534595281</v>
      </c>
      <c r="U10" s="5" t="n">
        <v>91.88671250907829</v>
      </c>
      <c r="V10" s="5" t="n">
        <v>0.938579487179487</v>
      </c>
      <c r="W10" s="5" t="n">
        <v>0.796574779200892</v>
      </c>
      <c r="X10" s="5" t="n">
        <v>0.208559349330884</v>
      </c>
    </row>
    <row r="21">
      <c r="G21" s="6" t="n"/>
      <c r="H21" s="6" t="n"/>
    </row>
    <row r="22">
      <c r="G22" s="7" t="n"/>
      <c r="H22" s="7" t="n"/>
    </row>
  </sheetData>
  <mergeCells count="12">
    <mergeCell ref="U1:X1"/>
    <mergeCell ref="I1:L1"/>
    <mergeCell ref="M1:P1"/>
    <mergeCell ref="Q1:T1"/>
    <mergeCell ref="C1:C2"/>
    <mergeCell ref="B1:B2"/>
    <mergeCell ref="G1:G2"/>
    <mergeCell ref="F1:F2"/>
    <mergeCell ref="D1:D2"/>
    <mergeCell ref="E1:E2"/>
    <mergeCell ref="H1:H2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V21"/>
  <sheetViews>
    <sheetView tabSelected="1" workbookViewId="0">
      <selection activeCell="C71" sqref="C71"/>
    </sheetView>
  </sheetViews>
  <sheetFormatPr baseColWidth="8" defaultColWidth="12.5703125" defaultRowHeight="15.75" customHeight="1"/>
  <cols>
    <col width="54.42578125" customWidth="1" style="18" min="2" max="2"/>
    <col width="17.5703125" customWidth="1" style="18" min="3" max="3"/>
  </cols>
  <sheetData>
    <row r="1">
      <c r="A1" s="17" t="inlineStr">
        <is>
          <t>#</t>
        </is>
      </c>
      <c r="B1" s="17" t="inlineStr">
        <is>
          <t>Model</t>
        </is>
      </c>
      <c r="C1" s="17" t="inlineStr">
        <is>
          <t>Rectangular</t>
        </is>
      </c>
      <c r="H1" s="17" t="inlineStr">
        <is>
          <t>Voronoi</t>
        </is>
      </c>
      <c r="M1" s="17" t="inlineStr">
        <is>
          <t>Arbitrary</t>
        </is>
      </c>
    </row>
    <row r="2">
      <c r="C2" s="17" t="inlineStr">
        <is>
          <t>SSR</t>
        </is>
      </c>
      <c r="D2" s="17" t="inlineStr">
        <is>
          <t>RandI</t>
        </is>
      </c>
      <c r="E2" s="17" t="inlineStr">
        <is>
          <t>NMI</t>
        </is>
      </c>
      <c r="F2" s="17" t="inlineStr">
        <is>
          <t>MAE</t>
        </is>
      </c>
      <c r="G2" s="17" t="inlineStr">
        <is>
          <t>Time</t>
        </is>
      </c>
      <c r="H2" s="17" t="inlineStr">
        <is>
          <t>SSR</t>
        </is>
      </c>
      <c r="I2" s="17" t="inlineStr">
        <is>
          <t>RandI</t>
        </is>
      </c>
      <c r="J2" s="17" t="inlineStr">
        <is>
          <t>NMI</t>
        </is>
      </c>
      <c r="K2" s="17" t="inlineStr">
        <is>
          <t>MAE</t>
        </is>
      </c>
      <c r="L2" s="17" t="inlineStr">
        <is>
          <t>Time</t>
        </is>
      </c>
      <c r="M2" s="17" t="inlineStr">
        <is>
          <t>SSR</t>
        </is>
      </c>
      <c r="N2" s="17" t="inlineStr">
        <is>
          <t>RandI</t>
        </is>
      </c>
      <c r="O2" s="17" t="inlineStr">
        <is>
          <t>NMI</t>
        </is>
      </c>
      <c r="P2" s="17" t="inlineStr">
        <is>
          <t>MAE</t>
        </is>
      </c>
      <c r="Q2" s="17" t="inlineStr">
        <is>
          <t>Time</t>
        </is>
      </c>
    </row>
    <row r="3">
      <c r="A3" s="9" t="n">
        <v>3</v>
      </c>
      <c r="B3" s="9" t="inlineStr">
        <is>
          <t>GeoRegime (2Kmodels)</t>
        </is>
      </c>
      <c r="C3" s="10" t="n">
        <v>73.5364516766513</v>
      </c>
      <c r="D3" s="10" t="n">
        <v>0.933221641025641</v>
      </c>
      <c r="E3" s="10" t="n">
        <v>0.829435620767878</v>
      </c>
      <c r="F3" s="10" t="n">
        <v>0.239777577557526</v>
      </c>
      <c r="G3" s="10" t="n">
        <v>2.05152976036071</v>
      </c>
      <c r="H3" s="10" t="n">
        <v>73.92821680361639</v>
      </c>
      <c r="I3" s="10" t="n">
        <v>0.948575794871794</v>
      </c>
      <c r="J3" s="10" t="n">
        <v>0.848591619307137</v>
      </c>
      <c r="K3" s="10" t="n">
        <v>0.190279743354321</v>
      </c>
      <c r="L3" s="10" t="n">
        <v>2.14696502208709</v>
      </c>
      <c r="M3" s="10" t="n">
        <v>87.09736626181331</v>
      </c>
      <c r="N3" s="10" t="n">
        <v>0.922181333333333</v>
      </c>
      <c r="O3" s="10" t="n">
        <v>0.783961904417192</v>
      </c>
      <c r="P3" s="10" t="n">
        <v>0.25951896161956</v>
      </c>
      <c r="Q3" s="10" t="n">
        <v>2.37944506645202</v>
      </c>
      <c r="R3" s="9" t="n"/>
      <c r="S3" s="9" t="n"/>
      <c r="T3" s="9" t="n"/>
      <c r="U3" s="9" t="n"/>
      <c r="V3" s="9" t="n"/>
    </row>
    <row r="4">
      <c r="A4" s="2" t="n">
        <v>8</v>
      </c>
      <c r="B4" s="3" t="inlineStr">
        <is>
          <t>GeoRegime (2Kmodels) Dynamic Evolved</t>
        </is>
      </c>
      <c r="C4" s="11" t="n">
        <v>72.0924987961907</v>
      </c>
      <c r="D4" s="11" t="n">
        <v>0.952743999999999</v>
      </c>
      <c r="E4" s="11" t="n">
        <v>0.855210491249941</v>
      </c>
      <c r="F4" s="11" t="n">
        <v>0.181274510695516</v>
      </c>
      <c r="G4" s="11" t="n">
        <v>17.5451961898803</v>
      </c>
      <c r="H4" s="11" t="n">
        <v>71.4642388039135</v>
      </c>
      <c r="I4" s="11" t="n">
        <v>0.967114461538461</v>
      </c>
      <c r="J4" s="11" t="n">
        <v>0.885281367179424</v>
      </c>
      <c r="K4" s="11" t="n">
        <v>0.135837392825004</v>
      </c>
      <c r="L4" s="11" t="n">
        <v>18.2471986055374</v>
      </c>
      <c r="M4" s="11" t="n">
        <v>92.2795927520485</v>
      </c>
      <c r="N4" s="11" t="n">
        <v>0.93732482051282</v>
      </c>
      <c r="O4" s="11" t="n">
        <v>0.804982274856805</v>
      </c>
      <c r="P4" s="11" t="n">
        <v>0.222864558105406</v>
      </c>
      <c r="Q4" s="11" t="n">
        <v>19.7035969257354</v>
      </c>
    </row>
    <row r="5">
      <c r="A5" s="2" t="n">
        <v>9</v>
      </c>
      <c r="B5" s="3" t="inlineStr">
        <is>
          <t>GeoRegime (2Kmodels) Static Evolved</t>
        </is>
      </c>
      <c r="C5" s="12" t="n">
        <v>53.0021969957367</v>
      </c>
      <c r="D5" s="12" t="n">
        <v>0.99745641025641</v>
      </c>
      <c r="E5" s="12" t="n">
        <v>0.989789815622787</v>
      </c>
      <c r="F5" s="12" t="n">
        <v>0.0698419657232346</v>
      </c>
      <c r="G5" s="12" t="n">
        <v>16.21072827816</v>
      </c>
      <c r="H5" s="12" t="n">
        <v>88.8388011949943</v>
      </c>
      <c r="I5" s="12" t="n">
        <v>0.909276923076923</v>
      </c>
      <c r="J5" s="12" t="n">
        <v>0.806839774899188</v>
      </c>
      <c r="K5" s="12" t="n">
        <v>0.200683837802565</v>
      </c>
      <c r="L5" s="12" t="n">
        <v>15.7675839853286</v>
      </c>
      <c r="M5" s="12" t="n">
        <v>64.24489156272951</v>
      </c>
      <c r="N5" s="12" t="n">
        <v>0.966938461538461</v>
      </c>
      <c r="O5" s="12" t="n">
        <v>0.8783556143876891</v>
      </c>
      <c r="P5" s="12" t="n">
        <v>0.153089041089119</v>
      </c>
      <c r="Q5" s="12" t="n">
        <v>16.9317790746688</v>
      </c>
    </row>
    <row r="6">
      <c r="A6" s="2" t="n">
        <v>10</v>
      </c>
      <c r="B6" s="3" t="inlineStr">
        <is>
          <t>GeoRegime (2Kmodels) No RAG Evolved</t>
        </is>
      </c>
      <c r="C6" s="12" t="n">
        <v>76.18849732144839</v>
      </c>
      <c r="D6" s="12" t="n">
        <v>0.928849333333333</v>
      </c>
      <c r="E6" s="12" t="n">
        <v>0.818835706206379</v>
      </c>
      <c r="F6" s="12" t="n">
        <v>0.252434515908387</v>
      </c>
      <c r="G6" s="12" t="n">
        <v>2.26096684455871</v>
      </c>
      <c r="H6" s="12" t="n">
        <v>72.5263981617247</v>
      </c>
      <c r="I6" s="12" t="n">
        <v>0.949505743589743</v>
      </c>
      <c r="J6" s="12" t="n">
        <v>0.851640441985445</v>
      </c>
      <c r="K6" s="12" t="n">
        <v>0.18118929345977</v>
      </c>
      <c r="L6" s="12" t="n">
        <v>2.33342693805694</v>
      </c>
      <c r="M6" s="12" t="n">
        <v>92.22607093319159</v>
      </c>
      <c r="N6" s="12" t="n">
        <v>0.917115487179487</v>
      </c>
      <c r="O6" s="12" t="n">
        <v>0.778526410559063</v>
      </c>
      <c r="P6" s="12" t="n">
        <v>0.271248252464835</v>
      </c>
      <c r="Q6" s="12" t="n">
        <v>2.40186147689819</v>
      </c>
    </row>
    <row r="7">
      <c r="A7" s="2" t="n">
        <v>11</v>
      </c>
      <c r="B7" s="3" t="inlineStr">
        <is>
          <t>GeoRegime (2Kmodels) OpenEvolve No GeoKnow Evolved</t>
        </is>
      </c>
      <c r="C7" s="12" t="n">
        <v>78.4667716673188</v>
      </c>
      <c r="D7" s="12" t="n">
        <v>0.95783723076923</v>
      </c>
      <c r="E7" s="12" t="n">
        <v>0.865868257498159</v>
      </c>
      <c r="F7" s="12" t="n">
        <v>0.179413415073508</v>
      </c>
      <c r="G7" s="12" t="n">
        <v>9.81510087013244</v>
      </c>
      <c r="H7" s="12" t="n">
        <v>79.0936708700942</v>
      </c>
      <c r="I7" s="12" t="n">
        <v>0.965050871794871</v>
      </c>
      <c r="J7" s="12" t="n">
        <v>0.874294965804557</v>
      </c>
      <c r="K7" s="12" t="n">
        <v>0.152206595564555</v>
      </c>
      <c r="L7" s="12" t="n">
        <v>10.3430694627761</v>
      </c>
      <c r="M7" s="12" t="n">
        <v>103.802787085423</v>
      </c>
      <c r="N7" s="12" t="n">
        <v>0.938026974358974</v>
      </c>
      <c r="O7" s="12" t="n">
        <v>0.797994852862806</v>
      </c>
      <c r="P7" s="12" t="n">
        <v>0.241048071009402</v>
      </c>
      <c r="Q7" s="12" t="n">
        <v>9.684425601959219</v>
      </c>
    </row>
    <row r="8">
      <c r="A8" s="2" t="n">
        <v>12</v>
      </c>
      <c r="B8" s="3" t="inlineStr">
        <is>
          <t>GeoRegime (2Kmodels) OpenEvolve Simple GeoKnow Evolved</t>
        </is>
      </c>
      <c r="C8" s="12" t="n">
        <v>67.80690351449211</v>
      </c>
      <c r="D8" s="12" t="n">
        <v>0.938918769230769</v>
      </c>
      <c r="E8" s="12" t="n">
        <v>0.83732279950982</v>
      </c>
      <c r="F8" s="12" t="n">
        <v>0.216864042722625</v>
      </c>
      <c r="G8" s="12" t="n">
        <v>2.20896684169769</v>
      </c>
      <c r="H8" s="12" t="n">
        <v>68.9311801041801</v>
      </c>
      <c r="I8" s="12" t="n">
        <v>0.953437333333333</v>
      </c>
      <c r="J8" s="12" t="n">
        <v>0.859657252386865</v>
      </c>
      <c r="K8" s="12" t="n">
        <v>0.167240685505993</v>
      </c>
      <c r="L8" s="12" t="n">
        <v>2.21862055778503</v>
      </c>
      <c r="M8" s="12" t="n">
        <v>84.26824358823799</v>
      </c>
      <c r="N8" s="12" t="n">
        <v>0.919660205128205</v>
      </c>
      <c r="O8" s="12" t="n">
        <v>0.786987635521127</v>
      </c>
      <c r="P8" s="12" t="n">
        <v>0.259083558333909</v>
      </c>
      <c r="Q8" s="12" t="n">
        <v>2.11496006011962</v>
      </c>
    </row>
    <row r="9">
      <c r="A9" s="2" t="n">
        <v>13</v>
      </c>
      <c r="B9" s="3" t="inlineStr">
        <is>
          <t>GeoRegime (2Kmodels) OpenEvolve Specific GeoKnow Evolved</t>
        </is>
      </c>
      <c r="C9" s="12" t="n">
        <v>75.4385159320784</v>
      </c>
      <c r="D9" s="12" t="n">
        <v>0.935093025641025</v>
      </c>
      <c r="E9" s="12" t="n">
        <v>0.8269911351511831</v>
      </c>
      <c r="F9" s="12" t="n">
        <v>0.238930242162666</v>
      </c>
      <c r="G9" s="12" t="n">
        <v>1.71187262535095</v>
      </c>
      <c r="H9" s="12" t="n">
        <v>75.9243740032006</v>
      </c>
      <c r="I9" s="12" t="n">
        <v>0.94482482051282</v>
      </c>
      <c r="J9" s="12" t="n">
        <v>0.841126784402717</v>
      </c>
      <c r="K9" s="12" t="n">
        <v>0.19632814609325</v>
      </c>
      <c r="L9" s="12" t="n">
        <v>1.79955109596252</v>
      </c>
      <c r="M9" s="12" t="n">
        <v>88.2627863808373</v>
      </c>
      <c r="N9" s="12" t="n">
        <v>0.923099076923077</v>
      </c>
      <c r="O9" s="12" t="n">
        <v>0.785404960358557</v>
      </c>
      <c r="P9" s="12" t="n">
        <v>0.251159401813756</v>
      </c>
      <c r="Q9" s="12" t="n">
        <v>1.83172222614288</v>
      </c>
    </row>
    <row r="10">
      <c r="A10" t="n">
        <v>14</v>
      </c>
      <c r="B10" t="inlineStr">
        <is>
          <t>AZP (regression-based)</t>
        </is>
      </c>
      <c r="C10" t="n">
        <v>254.0771681776941</v>
      </c>
      <c r="D10" t="n">
        <v>0.804370153846154</v>
      </c>
      <c r="E10" t="n">
        <v>0.4908884366939942</v>
      </c>
      <c r="F10" t="n">
        <v>0.7207597465092783</v>
      </c>
      <c r="G10" t="n">
        <v>1.742614512443542</v>
      </c>
      <c r="H10" t="n">
        <v>185.3317416095216</v>
      </c>
      <c r="I10" t="n">
        <v>0.826952</v>
      </c>
      <c r="J10" t="n">
        <v>0.601952391314523</v>
      </c>
      <c r="K10" t="n">
        <v>0.5376717437485601</v>
      </c>
      <c r="L10" t="n">
        <v>1.342018299102783</v>
      </c>
      <c r="M10" t="n">
        <v>197.0365854776518</v>
      </c>
      <c r="N10" t="n">
        <v>0.839965128205128</v>
      </c>
      <c r="O10" t="n">
        <v>0.5855008956807527</v>
      </c>
      <c r="P10" t="n">
        <v>0.5768484243811577</v>
      </c>
      <c r="Q10" t="n">
        <v>2.05663375377655</v>
      </c>
    </row>
    <row r="11">
      <c r="A11" t="n">
        <v>15</v>
      </c>
      <c r="B11" t="inlineStr">
        <is>
          <t>Region K-Models</t>
        </is>
      </c>
      <c r="C11" t="n">
        <v>390.7765078106534</v>
      </c>
      <c r="D11" t="n">
        <v>0.7845553846153847</v>
      </c>
      <c r="E11" t="n">
        <v>0.4256466663053282</v>
      </c>
      <c r="F11" t="n">
        <v>0.8648373632902089</v>
      </c>
      <c r="G11" t="n">
        <v>0.04547020435333252</v>
      </c>
      <c r="H11" t="n">
        <v>314.1845439117667</v>
      </c>
      <c r="I11" t="n">
        <v>0.8028429743589746</v>
      </c>
      <c r="J11" t="n">
        <v>0.5409580390514485</v>
      </c>
      <c r="K11" t="n">
        <v>0.6567566501774047</v>
      </c>
      <c r="L11" t="n">
        <v>0.04175334453582764</v>
      </c>
      <c r="M11" t="n">
        <v>339.3870607315303</v>
      </c>
      <c r="N11" t="n">
        <v>0.8139544615384615</v>
      </c>
      <c r="O11" t="n">
        <v>0.5180388081115699</v>
      </c>
      <c r="P11" t="n">
        <v>0.743831871392542</v>
      </c>
      <c r="Q11" t="n">
        <v>0.03674452304840088</v>
      </c>
    </row>
    <row r="12">
      <c r="A12" t="n">
        <v>16</v>
      </c>
      <c r="B12" t="inlineStr">
        <is>
          <t>GWR + SKATER</t>
        </is>
      </c>
      <c r="C12" t="n">
        <v>215.3099906344287</v>
      </c>
      <c r="D12" t="n">
        <v>0.8607498461538461</v>
      </c>
      <c r="E12" t="n">
        <v>0.7283460737592293</v>
      </c>
      <c r="F12" t="n">
        <v>0.4378575221902985</v>
      </c>
      <c r="G12" t="n">
        <v>7.175027952194214</v>
      </c>
      <c r="H12" t="n">
        <v>204.6624997679169</v>
      </c>
      <c r="I12" t="n">
        <v>0.8834201025641026</v>
      </c>
      <c r="J12" t="n">
        <v>0.7093808505446034</v>
      </c>
      <c r="K12" t="n">
        <v>0.3627973489478433</v>
      </c>
      <c r="L12" t="n">
        <v>6.174624466896057</v>
      </c>
      <c r="M12" t="n">
        <v>288.5403730366993</v>
      </c>
      <c r="N12" t="n">
        <v>0.8503020512820513</v>
      </c>
      <c r="O12" t="n">
        <v>0.6235494158896505</v>
      </c>
      <c r="P12" t="n">
        <v>0.4869714447640304</v>
      </c>
      <c r="Q12" t="n">
        <v>6.131153030395508</v>
      </c>
    </row>
    <row r="13">
      <c r="A13" t="n">
        <v>17</v>
      </c>
      <c r="B13" t="inlineStr">
        <is>
          <t>SKATER-reg</t>
        </is>
      </c>
      <c r="C13" t="n">
        <v>476.8201339110589</v>
      </c>
      <c r="D13" t="n">
        <v>0.6643316923076923</v>
      </c>
      <c r="E13" t="n">
        <v>0.4144407705530656</v>
      </c>
      <c r="F13" t="n">
        <v>0.9359638783817175</v>
      </c>
      <c r="G13" t="n">
        <v>24.97326819896698</v>
      </c>
      <c r="H13" t="n">
        <v>342.1814672639715</v>
      </c>
      <c r="I13" t="n">
        <v>0.7429943589743588</v>
      </c>
      <c r="J13" t="n">
        <v>0.5049795087821434</v>
      </c>
      <c r="K13" t="n">
        <v>0.7149073356563703</v>
      </c>
      <c r="L13" t="n">
        <v>24.90427170753479</v>
      </c>
      <c r="M13" t="n">
        <v>390.6620620049689</v>
      </c>
      <c r="N13" t="n">
        <v>0.7363511794871794</v>
      </c>
      <c r="O13" t="n">
        <v>0.4824225327049425</v>
      </c>
      <c r="P13" t="n">
        <v>0.7744602613906344</v>
      </c>
      <c r="Q13" t="n">
        <v>22.09636066913605</v>
      </c>
    </row>
    <row r="14">
      <c r="A14" t="n">
        <v>18</v>
      </c>
      <c r="B14" t="inlineStr">
        <is>
          <t>SHAP-based</t>
        </is>
      </c>
      <c r="C14" t="n">
        <v>67.95476698505271</v>
      </c>
      <c r="D14" t="n">
        <v>0.937577641025641</v>
      </c>
      <c r="E14" t="n">
        <v>0.8451811810650995</v>
      </c>
      <c r="F14" t="n">
        <v>0.2248303203312286</v>
      </c>
      <c r="G14" t="n">
        <v>5.820322275161743</v>
      </c>
      <c r="H14" t="n">
        <v>65.60584301912405</v>
      </c>
      <c r="I14" t="n">
        <v>0.9550071794871795</v>
      </c>
      <c r="J14" t="n">
        <v>0.8649611191996803</v>
      </c>
      <c r="K14" t="n">
        <v>0.1629600054916965</v>
      </c>
      <c r="L14" t="n">
        <v>5.869614677429199</v>
      </c>
      <c r="M14" t="n">
        <v>84.77574770828039</v>
      </c>
      <c r="N14" t="n">
        <v>0.9227790769230769</v>
      </c>
      <c r="O14" t="n">
        <v>0.7907898066154666</v>
      </c>
      <c r="P14" t="n">
        <v>0.274715953484002</v>
      </c>
      <c r="Q14" t="n">
        <v>6.064524703025818</v>
      </c>
    </row>
    <row r="15">
      <c r="A15" t="n">
        <v>19</v>
      </c>
      <c r="B15" t="inlineStr">
        <is>
          <t>GeoRegime 2Kmodels (re-run)</t>
        </is>
      </c>
      <c r="C15" t="n">
        <v>77.34764734888326</v>
      </c>
      <c r="D15" t="n">
        <v>0.9255434871794873</v>
      </c>
      <c r="E15" t="n">
        <v>0.8129799747992861</v>
      </c>
      <c r="F15" t="n">
        <v>0.2559358591527883</v>
      </c>
      <c r="G15" t="n">
        <v>2.443750247955322</v>
      </c>
      <c r="H15" t="n">
        <v>76.32701698916262</v>
      </c>
      <c r="I15" t="n">
        <v>0.9430454358974358</v>
      </c>
      <c r="J15" t="n">
        <v>0.8373662156671009</v>
      </c>
      <c r="K15" t="n">
        <v>0.1982174233320985</v>
      </c>
      <c r="L15" t="n">
        <v>2.552260289192199</v>
      </c>
      <c r="M15" t="n">
        <v>89.40690919101809</v>
      </c>
      <c r="N15" t="n">
        <v>0.9179757948717948</v>
      </c>
      <c r="O15" t="n">
        <v>0.7815421671487717</v>
      </c>
      <c r="P15" t="n">
        <v>0.2645118451769885</v>
      </c>
      <c r="Q15" t="n">
        <v>2.42620502948761</v>
      </c>
    </row>
    <row r="16">
      <c r="A16" t="n">
        <v>20</v>
      </c>
      <c r="B16" t="inlineStr">
        <is>
          <t>OpenEvolve No GeoKnow (re-run)</t>
        </is>
      </c>
      <c r="C16" t="n">
        <v>88.25522221200924</v>
      </c>
      <c r="D16" t="n">
        <v>0.9430196923076923</v>
      </c>
      <c r="E16" t="n">
        <v>0.8352243623362315</v>
      </c>
      <c r="F16" t="n">
        <v>0.2211258355524305</v>
      </c>
      <c r="G16" t="n">
        <v>1.445674514770508</v>
      </c>
      <c r="H16" t="n">
        <v>87.23635414896867</v>
      </c>
      <c r="I16" t="n">
        <v>0.9463850256410257</v>
      </c>
      <c r="J16" t="n">
        <v>0.8369083242837116</v>
      </c>
      <c r="K16" t="n">
        <v>0.1948063735381484</v>
      </c>
      <c r="L16" t="n">
        <v>1.315145783424377</v>
      </c>
      <c r="M16" t="n">
        <v>115.857532274691</v>
      </c>
      <c r="N16" t="n">
        <v>0.906905641025641</v>
      </c>
      <c r="O16" t="n">
        <v>0.7581241298447129</v>
      </c>
      <c r="P16" t="n">
        <v>0.3065506020420477</v>
      </c>
      <c r="Q16" t="n">
        <v>1.241523966789246</v>
      </c>
    </row>
    <row r="17">
      <c r="A17" t="n">
        <v>21</v>
      </c>
      <c r="B17" t="inlineStr">
        <is>
          <t>OpenEvolve Simple GeoKnow (re-run)</t>
        </is>
      </c>
      <c r="C17" t="n">
        <v>67.7690288114547</v>
      </c>
      <c r="D17" t="n">
        <v>0.9392855384615383</v>
      </c>
      <c r="E17" t="n">
        <v>0.8389254224259184</v>
      </c>
      <c r="F17" t="n">
        <v>0.2167443345499995</v>
      </c>
      <c r="G17" t="n">
        <v>2.950523142814636</v>
      </c>
      <c r="H17" t="n">
        <v>65.78404827933819</v>
      </c>
      <c r="I17" t="n">
        <v>0.9545871794871794</v>
      </c>
      <c r="J17" t="n">
        <v>0.8638504901198722</v>
      </c>
      <c r="K17" t="n">
        <v>0.1634737484844167</v>
      </c>
      <c r="L17" t="n">
        <v>3.076320452690124</v>
      </c>
      <c r="M17" t="n">
        <v>79.71611365737971</v>
      </c>
      <c r="N17" t="n">
        <v>0.922616717948718</v>
      </c>
      <c r="O17" t="n">
        <v>0.7917658928490706</v>
      </c>
      <c r="P17" t="n">
        <v>0.2565100313605713</v>
      </c>
      <c r="Q17" t="n">
        <v>2.90847852230072</v>
      </c>
    </row>
    <row r="18">
      <c r="A18" t="n">
        <v>22</v>
      </c>
      <c r="B18" t="inlineStr">
        <is>
          <t>OpenEvolve Specific GeoKnow (re-run)</t>
        </is>
      </c>
      <c r="C18" t="n">
        <v>76.89067710916339</v>
      </c>
      <c r="D18" t="n">
        <v>0.9329673846153845</v>
      </c>
      <c r="E18" t="n">
        <v>0.8267160784879813</v>
      </c>
      <c r="F18" t="n">
        <v>0.2434312233257706</v>
      </c>
      <c r="G18" t="n">
        <v>2.42479510307312</v>
      </c>
      <c r="H18" t="n">
        <v>72.83440177631253</v>
      </c>
      <c r="I18" t="n">
        <v>0.9492072820512821</v>
      </c>
      <c r="J18" t="n">
        <v>0.8511885879139959</v>
      </c>
      <c r="K18" t="n">
        <v>0.1832890191106851</v>
      </c>
      <c r="L18" t="n">
        <v>2.436130266189575</v>
      </c>
      <c r="M18" t="n">
        <v>85.87273224641771</v>
      </c>
      <c r="N18" t="n">
        <v>0.9213413333333333</v>
      </c>
      <c r="O18" t="n">
        <v>0.7876631960744244</v>
      </c>
      <c r="P18" t="n">
        <v>0.2521429564176704</v>
      </c>
      <c r="Q18" t="n">
        <v>2.339413523674011</v>
      </c>
    </row>
    <row r="19">
      <c r="A19" t="n">
        <v>23</v>
      </c>
      <c r="B19" t="inlineStr">
        <is>
          <t>GeoEvolve No RAG (re-run)</t>
        </is>
      </c>
      <c r="C19" t="n">
        <v>73.34069149089005</v>
      </c>
      <c r="D19" t="n">
        <v>0.9329591794871797</v>
      </c>
      <c r="E19" t="n">
        <v>0.8253599697839036</v>
      </c>
      <c r="F19" t="n">
        <v>0.239731498073973</v>
      </c>
      <c r="G19" t="n">
        <v>2.836331796646118</v>
      </c>
      <c r="H19" t="n">
        <v>71.30245456338096</v>
      </c>
      <c r="I19" t="n">
        <v>0.9521896410256412</v>
      </c>
      <c r="J19" t="n">
        <v>0.8557329692374842</v>
      </c>
      <c r="K19" t="n">
        <v>0.1724039486072255</v>
      </c>
      <c r="L19" t="n">
        <v>2.888906383514404</v>
      </c>
      <c r="M19" t="n">
        <v>91.83101192676078</v>
      </c>
      <c r="N19" t="n">
        <v>0.9108184615384615</v>
      </c>
      <c r="O19" t="n">
        <v>0.7688591754480392</v>
      </c>
      <c r="P19" t="n">
        <v>0.2831620745210745</v>
      </c>
      <c r="Q19" t="n">
        <v>3.097398023605347</v>
      </c>
    </row>
    <row r="20">
      <c r="A20" t="n">
        <v>24</v>
      </c>
      <c r="B20" t="inlineStr">
        <is>
          <t>GeoEvolve Static RAG (re-run)</t>
        </is>
      </c>
      <c r="C20" t="n">
        <v>57.54784816445743</v>
      </c>
      <c r="D20" t="n">
        <v>0.9666471794871794</v>
      </c>
      <c r="E20" t="n">
        <v>0.9286778626251631</v>
      </c>
      <c r="F20" t="n">
        <v>0.1339864354670425</v>
      </c>
      <c r="G20" t="n">
        <v>19.29808013916016</v>
      </c>
      <c r="H20" t="n">
        <v>56.95376629510221</v>
      </c>
      <c r="I20" t="n">
        <v>0.9748353846153848</v>
      </c>
      <c r="J20" t="n">
        <v>0.9260353183810131</v>
      </c>
      <c r="K20" t="n">
        <v>0.1087960993220184</v>
      </c>
      <c r="L20" t="n">
        <v>18.94804760932922</v>
      </c>
      <c r="M20" t="n">
        <v>62.96986645919364</v>
      </c>
      <c r="N20" t="n">
        <v>0.9471033846153847</v>
      </c>
      <c r="O20" t="n">
        <v>0.8634210583104734</v>
      </c>
      <c r="P20" t="n">
        <v>0.1767239206990407</v>
      </c>
      <c r="Q20" t="n">
        <v>20.02214861392975</v>
      </c>
    </row>
    <row r="21">
      <c r="A21" t="n">
        <v>25</v>
      </c>
      <c r="B21" t="inlineStr">
        <is>
          <t>GeoEvolve Dynamic RAG (re-run)</t>
        </is>
      </c>
      <c r="C21" t="n">
        <v>76.76475439290557</v>
      </c>
      <c r="D21" t="n">
        <v>0.9506401025641025</v>
      </c>
      <c r="E21" t="n">
        <v>0.8466608286623055</v>
      </c>
      <c r="F21" t="n">
        <v>0.1883746755729339</v>
      </c>
      <c r="G21" t="n">
        <v>18.41751020908356</v>
      </c>
      <c r="H21" t="n">
        <v>86.55741719506064</v>
      </c>
      <c r="I21" t="n">
        <v>0.9460979487179487</v>
      </c>
      <c r="J21" t="n">
        <v>0.8324975750401263</v>
      </c>
      <c r="K21" t="n">
        <v>0.1887030411525646</v>
      </c>
      <c r="L21" t="n">
        <v>18.84598127365112</v>
      </c>
      <c r="M21" t="n">
        <v>106.9213194436589</v>
      </c>
      <c r="N21" t="n">
        <v>0.9264634871794871</v>
      </c>
      <c r="O21" t="n">
        <v>0.7774987142958184</v>
      </c>
      <c r="P21" t="n">
        <v>0.2510262058623215</v>
      </c>
      <c r="Q21" t="n">
        <v>18.94467505455017</v>
      </c>
    </row>
  </sheetData>
  <mergeCells count="5">
    <mergeCell ref="C1:G1"/>
    <mergeCell ref="H1:L1"/>
    <mergeCell ref="B1:B2"/>
    <mergeCell ref="M1:Q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2026-05-07T09:53:41Z</dcterms:created>
  <dcterms:modified xmlns:dcterms="http://purl.org/dc/terms/" xmlns:xsi="http://www.w3.org/2001/XMLSchema-instance" xsi:type="dcterms:W3CDTF">2026-05-07T12:43:46Z</dcterms:modified>
  <cp:lastModifiedBy>Xiayin Lou</cp:lastModifiedBy>
</cp:coreProperties>
</file>